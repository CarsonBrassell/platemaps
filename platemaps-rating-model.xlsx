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ratings" sheetId="2" state="visible" r:id="rId2"/>
    <sheet name="Plate score" sheetId="3" state="visible" r:id="rId3"/>
    <sheet name="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+0.00;-0.00;0.00"/>
    <numFmt numFmtId="167" formatCode="0.00000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b val="1"/>
      <color rgb="00C9591F"/>
      <sz val="12"/>
    </font>
    <font>
      <name val="Arial"/>
      <b val="1"/>
      <sz val="11"/>
    </font>
    <font>
      <name val="Arial"/>
      <b val="1"/>
      <color rgb="00C9591F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32019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165" fontId="3" fillId="0" borderId="0" pivotButton="0" quotePrefix="0" xfId="0"/>
    <xf numFmtId="2" fontId="3" fillId="0" borderId="0" pivotButton="0" quotePrefix="0" xfId="0"/>
    <xf numFmtId="164" fontId="8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4" fontId="6" fillId="0" borderId="0" pivotButton="0" quotePrefix="0" xfId="0"/>
    <xf numFmtId="2" fontId="9" fillId="0" borderId="1" pivotButton="0" quotePrefix="0" xfId="0"/>
    <xf numFmtId="166" fontId="4" fillId="0" borderId="1" pivotButton="0" quotePrefix="0" xfId="0"/>
    <xf numFmtId="165" fontId="10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2" customWidth="1" min="3" max="3"/>
  </cols>
  <sheetData>
    <row r="1">
      <c r="A1" s="1" t="inlineStr">
        <is>
          <t>PlateMaps — Landini's Pizzeria (Spot №002)</t>
        </is>
      </c>
    </row>
    <row r="2">
      <c r="A2" s="2" t="inlineStr">
        <is>
          <t>Every number the restaurant page shows, and the inputs behind it.</t>
        </is>
      </c>
    </row>
    <row r="3">
      <c r="A3" s="2" t="inlineStr">
        <is>
          <t>Blue = raw input.  Green = pulled from another sheet.  Black = formula.</t>
        </is>
      </c>
    </row>
    <row r="5">
      <c r="A5" s="3" t="inlineStr">
        <is>
          <t>SOURCED RATING (Yelp + Google)</t>
        </is>
      </c>
    </row>
    <row r="6">
      <c r="A6" s="4" t="inlineStr">
        <is>
          <t>Rating (1-5)</t>
        </is>
      </c>
      <c r="B6" s="5" t="n">
        <v>4.1</v>
      </c>
      <c r="C6" s="2" t="inlineStr">
        <is>
          <t>Review-count-weighted mean of Yelp and Google. scripts/blend-ratings.mjs</t>
        </is>
      </c>
    </row>
    <row r="7">
      <c r="A7" s="4" t="inlineStr">
        <is>
          <t>Reviews behind it</t>
        </is>
      </c>
      <c r="B7" s="5" t="n">
        <v>1966</v>
      </c>
      <c r="C7" s="2" t="inlineStr">
        <is>
          <t>Combined count from both sources</t>
        </is>
      </c>
    </row>
    <row r="9">
      <c r="A9" s="3" t="inlineStr">
        <is>
          <t>PLATEMAPS PLATE SCORE</t>
        </is>
      </c>
    </row>
    <row r="10">
      <c r="A10" s="4" t="inlineStr">
        <is>
          <t>Plate score (%)</t>
        </is>
      </c>
      <c r="B10" s="6">
        <f>'Plate score'!B15</f>
        <v/>
      </c>
      <c r="C10" s="2" t="inlineStr">
        <is>
          <t>Confidence-weighted mean of the dish averages</t>
        </is>
      </c>
    </row>
    <row r="11">
      <c r="A11" s="4" t="inlineStr">
        <is>
          <t>Rated plates</t>
        </is>
      </c>
      <c r="B11" s="4">
        <f>COUNT('Plate score'!C5:C12)</f>
        <v/>
      </c>
      <c r="C11" s="2" t="inlineStr">
        <is>
          <t>Floor is 3 — below it no percent is shown</t>
        </is>
      </c>
    </row>
    <row r="12">
      <c r="A12" s="4" t="inlineStr">
        <is>
          <t>Dish ratings</t>
        </is>
      </c>
      <c r="B12" s="4">
        <f>SUM('Plate score'!C5:C12)</f>
        <v/>
      </c>
      <c r="C12" s="2" t="inlineStr">
        <is>
          <t>Floor is 8</t>
        </is>
      </c>
    </row>
    <row r="14">
      <c r="A14" s="3" t="inlineStr">
        <is>
          <t>MODEL CONSTANTS</t>
        </is>
      </c>
    </row>
    <row r="15">
      <c r="A15" s="4" t="inlineStr">
        <is>
          <t>Plate CONFIDENCE_K</t>
        </is>
      </c>
      <c r="B15" s="5" t="n">
        <v>3</v>
      </c>
      <c r="C15" s="2" t="inlineStr">
        <is>
          <t>src/lib/plateScore.ts — a plate's weight is n/(n+K)</t>
        </is>
      </c>
    </row>
    <row r="16">
      <c r="A16" s="4" t="inlineStr">
        <is>
          <t>Category CONFIDENCE_K</t>
        </is>
      </c>
      <c r="B16" s="5" t="n">
        <v>5</v>
      </c>
      <c r="C16" s="2" t="inlineStr">
        <is>
          <t>src/lib/aspectScores.ts — damping on small samples</t>
        </is>
      </c>
    </row>
    <row r="17">
      <c r="A17" s="4" t="inlineStr">
        <is>
          <t>SPREAD</t>
        </is>
      </c>
      <c r="B17" s="5" t="n">
        <v>1.5</v>
      </c>
      <c r="C17" s="2" t="inlineStr">
        <is>
          <t>Rating points per full unit of centred net</t>
        </is>
      </c>
    </row>
    <row r="18">
      <c r="A18" s="4" t="inlineStr">
        <is>
          <t>Scale min / max</t>
        </is>
      </c>
      <c r="B18" s="5" t="inlineStr">
        <is>
          <t>1 / 5</t>
        </is>
      </c>
      <c r="C18" s="2" t="inlineStr">
        <is>
          <t>Categories report on the same scale as the sourced rating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</cols>
  <sheetData>
    <row r="1">
      <c r="A1" s="1" t="inlineStr">
        <is>
          <t>Every individual dish rating — 36 rows, one per rating</t>
        </is>
      </c>
    </row>
    <row r="2">
      <c r="A2" s="2" t="inlineStr">
        <is>
          <t>This is the source data. Everything on 'Plate score' is computed from it.</t>
        </is>
      </c>
    </row>
    <row r="4">
      <c r="A4" s="7" t="inlineStr">
        <is>
          <t>#</t>
        </is>
      </c>
      <c r="B4" s="7" t="inlineStr">
        <is>
          <t>Dish</t>
        </is>
      </c>
      <c r="C4" s="7" t="inlineStr">
        <is>
          <t>Rating (0-100)</t>
        </is>
      </c>
    </row>
    <row r="5">
      <c r="A5" s="8" t="n">
        <v>1</v>
      </c>
      <c r="B5" s="8" t="inlineStr">
        <is>
          <t>Sopranos Pizza</t>
        </is>
      </c>
      <c r="C5" s="9" t="n">
        <v>96</v>
      </c>
    </row>
    <row r="6">
      <c r="A6" s="8" t="n">
        <v>2</v>
      </c>
      <c r="B6" s="8" t="inlineStr">
        <is>
          <t>Sopranos Pizza</t>
        </is>
      </c>
      <c r="C6" s="9" t="n">
        <v>94</v>
      </c>
    </row>
    <row r="7">
      <c r="A7" s="8" t="n">
        <v>3</v>
      </c>
      <c r="B7" s="8" t="inlineStr">
        <is>
          <t>Sopranos Pizza</t>
        </is>
      </c>
      <c r="C7" s="9" t="n">
        <v>92</v>
      </c>
    </row>
    <row r="8">
      <c r="A8" s="8" t="n">
        <v>4</v>
      </c>
      <c r="B8" s="8" t="inlineStr">
        <is>
          <t>Sopranos Pizza</t>
        </is>
      </c>
      <c r="C8" s="9" t="n">
        <v>97</v>
      </c>
    </row>
    <row r="9">
      <c r="A9" s="8" t="n">
        <v>5</v>
      </c>
      <c r="B9" s="8" t="inlineStr">
        <is>
          <t>Sopranos Pizza</t>
        </is>
      </c>
      <c r="C9" s="9" t="n">
        <v>90</v>
      </c>
    </row>
    <row r="10">
      <c r="A10" s="8" t="n">
        <v>6</v>
      </c>
      <c r="B10" s="8" t="inlineStr">
        <is>
          <t>Sopranos Pizza</t>
        </is>
      </c>
      <c r="C10" s="9" t="n">
        <v>95</v>
      </c>
    </row>
    <row r="11">
      <c r="A11" s="8" t="n">
        <v>7</v>
      </c>
      <c r="B11" s="8" t="inlineStr">
        <is>
          <t>Sopranos Pizza</t>
        </is>
      </c>
      <c r="C11" s="9" t="n">
        <v>93</v>
      </c>
    </row>
    <row r="12">
      <c r="A12" s="8" t="n">
        <v>8</v>
      </c>
      <c r="B12" s="8" t="inlineStr">
        <is>
          <t>Sopranos Pizza</t>
        </is>
      </c>
      <c r="C12" s="9" t="n">
        <v>98</v>
      </c>
    </row>
    <row r="13">
      <c r="A13" s="8" t="n">
        <v>9</v>
      </c>
      <c r="B13" s="8" t="inlineStr">
        <is>
          <t>Sopranos Pizza</t>
        </is>
      </c>
      <c r="C13" s="9" t="n">
        <v>91</v>
      </c>
    </row>
    <row r="14">
      <c r="A14" s="8" t="n">
        <v>10</v>
      </c>
      <c r="B14" s="8" t="inlineStr">
        <is>
          <t>Meatball Ricotta Marinara Pizza</t>
        </is>
      </c>
      <c r="C14" s="9" t="n">
        <v>95</v>
      </c>
    </row>
    <row r="15">
      <c r="A15" s="8" t="n">
        <v>11</v>
      </c>
      <c r="B15" s="8" t="inlineStr">
        <is>
          <t>Meatball Ricotta Marinara Pizza</t>
        </is>
      </c>
      <c r="C15" s="9" t="n">
        <v>92</v>
      </c>
    </row>
    <row r="16">
      <c r="A16" s="8" t="n">
        <v>12</v>
      </c>
      <c r="B16" s="8" t="inlineStr">
        <is>
          <t>Meatball Ricotta Marinara Pizza</t>
        </is>
      </c>
      <c r="C16" s="9" t="n">
        <v>90</v>
      </c>
    </row>
    <row r="17">
      <c r="A17" s="8" t="n">
        <v>13</v>
      </c>
      <c r="B17" s="8" t="inlineStr">
        <is>
          <t>Meatball Ricotta Marinara Pizza</t>
        </is>
      </c>
      <c r="C17" s="9" t="n">
        <v>94</v>
      </c>
    </row>
    <row r="18">
      <c r="A18" s="8" t="n">
        <v>14</v>
      </c>
      <c r="B18" s="8" t="inlineStr">
        <is>
          <t>Meatball Ricotta Marinara Pizza</t>
        </is>
      </c>
      <c r="C18" s="9" t="n">
        <v>88</v>
      </c>
    </row>
    <row r="19">
      <c r="A19" s="8" t="n">
        <v>15</v>
      </c>
      <c r="B19" s="8" t="inlineStr">
        <is>
          <t>Meatball Ricotta Marinara Pizza</t>
        </is>
      </c>
      <c r="C19" s="9" t="n">
        <v>93</v>
      </c>
    </row>
    <row r="20">
      <c r="A20" s="8" t="n">
        <v>16</v>
      </c>
      <c r="B20" s="8" t="inlineStr">
        <is>
          <t>Tartufi Pizza</t>
        </is>
      </c>
      <c r="C20" s="9" t="n">
        <v>93</v>
      </c>
    </row>
    <row r="21">
      <c r="A21" s="8" t="n">
        <v>17</v>
      </c>
      <c r="B21" s="8" t="inlineStr">
        <is>
          <t>Tartufi Pizza</t>
        </is>
      </c>
      <c r="C21" s="9" t="n">
        <v>90</v>
      </c>
    </row>
    <row r="22">
      <c r="A22" s="8" t="n">
        <v>18</v>
      </c>
      <c r="B22" s="8" t="inlineStr">
        <is>
          <t>Tartufi Pizza</t>
        </is>
      </c>
      <c r="C22" s="9" t="n">
        <v>88</v>
      </c>
    </row>
    <row r="23">
      <c r="A23" s="8" t="n">
        <v>19</v>
      </c>
      <c r="B23" s="8" t="inlineStr">
        <is>
          <t>Tartufi Pizza</t>
        </is>
      </c>
      <c r="C23" s="9" t="n">
        <v>95</v>
      </c>
    </row>
    <row r="24">
      <c r="A24" s="8" t="n">
        <v>20</v>
      </c>
      <c r="B24" s="8" t="inlineStr">
        <is>
          <t>Tartufi Pizza</t>
        </is>
      </c>
      <c r="C24" s="9" t="n">
        <v>91</v>
      </c>
    </row>
    <row r="25">
      <c r="A25" s="8" t="n">
        <v>21</v>
      </c>
      <c r="B25" s="8" t="inlineStr">
        <is>
          <t>Calzone</t>
        </is>
      </c>
      <c r="C25" s="9" t="n">
        <v>89</v>
      </c>
    </row>
    <row r="26">
      <c r="A26" s="8" t="n">
        <v>22</v>
      </c>
      <c r="B26" s="8" t="inlineStr">
        <is>
          <t>Calzone</t>
        </is>
      </c>
      <c r="C26" s="9" t="n">
        <v>92</v>
      </c>
    </row>
    <row r="27">
      <c r="A27" s="8" t="n">
        <v>23</v>
      </c>
      <c r="B27" s="8" t="inlineStr">
        <is>
          <t>Calzone</t>
        </is>
      </c>
      <c r="C27" s="9" t="n">
        <v>86</v>
      </c>
    </row>
    <row r="28">
      <c r="A28" s="8" t="n">
        <v>24</v>
      </c>
      <c r="B28" s="8" t="inlineStr">
        <is>
          <t>Calzone</t>
        </is>
      </c>
      <c r="C28" s="9" t="n">
        <v>90</v>
      </c>
    </row>
    <row r="29">
      <c r="A29" s="8" t="n">
        <v>25</v>
      </c>
      <c r="B29" s="8" t="inlineStr">
        <is>
          <t>Pasta Carbonara</t>
        </is>
      </c>
      <c r="C29" s="9" t="n">
        <v>88</v>
      </c>
    </row>
    <row r="30">
      <c r="A30" s="8" t="n">
        <v>26</v>
      </c>
      <c r="B30" s="8" t="inlineStr">
        <is>
          <t>Pasta Carbonara</t>
        </is>
      </c>
      <c r="C30" s="9" t="n">
        <v>84</v>
      </c>
    </row>
    <row r="31">
      <c r="A31" s="8" t="n">
        <v>27</v>
      </c>
      <c r="B31" s="8" t="inlineStr">
        <is>
          <t>Pasta Carbonara</t>
        </is>
      </c>
      <c r="C31" s="9" t="n">
        <v>90</v>
      </c>
    </row>
    <row r="32">
      <c r="A32" s="8" t="n">
        <v>28</v>
      </c>
      <c r="B32" s="8" t="inlineStr">
        <is>
          <t>Pasta Carbonara</t>
        </is>
      </c>
      <c r="C32" s="9" t="n">
        <v>86</v>
      </c>
    </row>
    <row r="33">
      <c r="A33" s="8" t="n">
        <v>29</v>
      </c>
      <c r="B33" s="8" t="inlineStr">
        <is>
          <t>Pasta Carbonara</t>
        </is>
      </c>
      <c r="C33" s="9" t="n">
        <v>83</v>
      </c>
    </row>
    <row r="34">
      <c r="A34" s="8" t="n">
        <v>30</v>
      </c>
      <c r="B34" s="8" t="inlineStr">
        <is>
          <t>Chicken Wings</t>
        </is>
      </c>
      <c r="C34" s="9" t="n">
        <v>82</v>
      </c>
    </row>
    <row r="35">
      <c r="A35" s="8" t="n">
        <v>31</v>
      </c>
      <c r="B35" s="8" t="inlineStr">
        <is>
          <t>Chicken Wings</t>
        </is>
      </c>
      <c r="C35" s="9" t="n">
        <v>78</v>
      </c>
    </row>
    <row r="36">
      <c r="A36" s="8" t="n">
        <v>32</v>
      </c>
      <c r="B36" s="8" t="inlineStr">
        <is>
          <t>Chicken Wings</t>
        </is>
      </c>
      <c r="C36" s="9" t="n">
        <v>85</v>
      </c>
    </row>
    <row r="37">
      <c r="A37" s="8" t="n">
        <v>33</v>
      </c>
      <c r="B37" s="8" t="inlineStr">
        <is>
          <t>Greek Salad</t>
        </is>
      </c>
      <c r="C37" s="9" t="n">
        <v>74</v>
      </c>
    </row>
    <row r="38">
      <c r="A38" s="8" t="n">
        <v>34</v>
      </c>
      <c r="B38" s="8" t="inlineStr">
        <is>
          <t>Greek Salad</t>
        </is>
      </c>
      <c r="C38" s="9" t="n">
        <v>70</v>
      </c>
    </row>
    <row r="39">
      <c r="A39" s="8" t="n">
        <v>35</v>
      </c>
      <c r="B39" s="8" t="inlineStr">
        <is>
          <t>Hawaiian Pizza</t>
        </is>
      </c>
      <c r="C39" s="9" t="n">
        <v>61</v>
      </c>
    </row>
    <row r="40">
      <c r="A40" s="8" t="n">
        <v>36</v>
      </c>
      <c r="B40" s="8" t="inlineStr">
        <is>
          <t>Hawaiian Pizza</t>
        </is>
      </c>
      <c r="C40" s="9" t="n">
        <v>55</v>
      </c>
    </row>
    <row r="42">
      <c r="B42" s="3" t="inlineStr">
        <is>
          <t>Total ratings</t>
        </is>
      </c>
      <c r="C42" s="3">
        <f>COUNT(C5:C40)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2" customWidth="1" min="4" max="4"/>
    <col width="16" customWidth="1" min="5" max="5"/>
    <col width="18" customWidth="1" min="6" max="6"/>
  </cols>
  <sheetData>
    <row r="1">
      <c r="A1" s="1" t="inlineStr">
        <is>
          <t>Stage 1 — the plates become the restaurant's percent</t>
        </is>
      </c>
    </row>
    <row r="2">
      <c r="A2" s="2" t="inlineStr">
        <is>
          <t>weight = n / (n + K).  A thinly-rated plate counts, just quietly.</t>
        </is>
      </c>
    </row>
    <row r="3">
      <c r="A3" s="2" t="inlineStr">
        <is>
          <t>percent = SUM(avg x weight) / SUM(weight)</t>
        </is>
      </c>
    </row>
    <row r="4">
      <c r="A4" s="7" t="inlineStr">
        <is>
          <t>Dish</t>
        </is>
      </c>
      <c r="B4" s="7" t="inlineStr">
        <is>
          <t>Price</t>
        </is>
      </c>
      <c r="C4" s="7" t="inlineStr">
        <is>
          <t>Ratings (n)</t>
        </is>
      </c>
      <c r="D4" s="7" t="inlineStr">
        <is>
          <t>Average</t>
        </is>
      </c>
      <c r="E4" s="7" t="inlineStr">
        <is>
          <t>Weight n/(n+3)</t>
        </is>
      </c>
      <c r="F4" s="7" t="inlineStr">
        <is>
          <t>Average x Weight</t>
        </is>
      </c>
    </row>
    <row r="5">
      <c r="A5" s="8" t="inlineStr">
        <is>
          <t>Sopranos Pizza</t>
        </is>
      </c>
      <c r="B5" s="8" t="inlineStr">
        <is>
          <t>$26.50</t>
        </is>
      </c>
      <c r="C5" s="8">
        <f>COUNTIF('Raw ratings'!$B$5:$B$40,A5)</f>
        <v/>
      </c>
      <c r="D5" s="10">
        <f>AVERAGEIF('Raw ratings'!$B$5:$B$40,A5,'Raw ratings'!$C$5:$C$40)</f>
        <v/>
      </c>
      <c r="E5" s="11">
        <f>C5/(C5+Summary!$B$15)</f>
        <v/>
      </c>
      <c r="F5" s="12">
        <f>D5*E5</f>
        <v/>
      </c>
    </row>
    <row r="6">
      <c r="A6" s="8" t="inlineStr">
        <is>
          <t>Meatball Ricotta Marinara Pizza</t>
        </is>
      </c>
      <c r="B6" s="8" t="inlineStr">
        <is>
          <t>$26.50</t>
        </is>
      </c>
      <c r="C6" s="8">
        <f>COUNTIF('Raw ratings'!$B$5:$B$40,A6)</f>
        <v/>
      </c>
      <c r="D6" s="10">
        <f>AVERAGEIF('Raw ratings'!$B$5:$B$40,A6,'Raw ratings'!$C$5:$C$40)</f>
        <v/>
      </c>
      <c r="E6" s="11">
        <f>C6/(C6+Summary!$B$15)</f>
        <v/>
      </c>
      <c r="F6" s="12">
        <f>D6*E6</f>
        <v/>
      </c>
    </row>
    <row r="7">
      <c r="A7" s="8" t="inlineStr">
        <is>
          <t>Tartufi Pizza</t>
        </is>
      </c>
      <c r="B7" s="8" t="inlineStr">
        <is>
          <t>$24.50</t>
        </is>
      </c>
      <c r="C7" s="8">
        <f>COUNTIF('Raw ratings'!$B$5:$B$40,A7)</f>
        <v/>
      </c>
      <c r="D7" s="10">
        <f>AVERAGEIF('Raw ratings'!$B$5:$B$40,A7,'Raw ratings'!$C$5:$C$40)</f>
        <v/>
      </c>
      <c r="E7" s="11">
        <f>C7/(C7+Summary!$B$15)</f>
        <v/>
      </c>
      <c r="F7" s="12">
        <f>D7*E7</f>
        <v/>
      </c>
    </row>
    <row r="8">
      <c r="A8" s="8" t="inlineStr">
        <is>
          <t>Calzone</t>
        </is>
      </c>
      <c r="B8" s="8" t="inlineStr">
        <is>
          <t>$14.50</t>
        </is>
      </c>
      <c r="C8" s="8">
        <f>COUNTIF('Raw ratings'!$B$5:$B$40,A8)</f>
        <v/>
      </c>
      <c r="D8" s="10">
        <f>AVERAGEIF('Raw ratings'!$B$5:$B$40,A8,'Raw ratings'!$C$5:$C$40)</f>
        <v/>
      </c>
      <c r="E8" s="11">
        <f>C8/(C8+Summary!$B$15)</f>
        <v/>
      </c>
      <c r="F8" s="12">
        <f>D8*E8</f>
        <v/>
      </c>
    </row>
    <row r="9">
      <c r="A9" s="8" t="inlineStr">
        <is>
          <t>Pasta Carbonara</t>
        </is>
      </c>
      <c r="B9" s="8" t="inlineStr">
        <is>
          <t>$15.50</t>
        </is>
      </c>
      <c r="C9" s="8">
        <f>COUNTIF('Raw ratings'!$B$5:$B$40,A9)</f>
        <v/>
      </c>
      <c r="D9" s="10">
        <f>AVERAGEIF('Raw ratings'!$B$5:$B$40,A9,'Raw ratings'!$C$5:$C$40)</f>
        <v/>
      </c>
      <c r="E9" s="11">
        <f>C9/(C9+Summary!$B$15)</f>
        <v/>
      </c>
      <c r="F9" s="12">
        <f>D9*E9</f>
        <v/>
      </c>
    </row>
    <row r="10">
      <c r="A10" s="8" t="inlineStr">
        <is>
          <t>Chicken Wings</t>
        </is>
      </c>
      <c r="B10" s="8" t="inlineStr">
        <is>
          <t>$11.50</t>
        </is>
      </c>
      <c r="C10" s="8">
        <f>COUNTIF('Raw ratings'!$B$5:$B$40,A10)</f>
        <v/>
      </c>
      <c r="D10" s="10">
        <f>AVERAGEIF('Raw ratings'!$B$5:$B$40,A10,'Raw ratings'!$C$5:$C$40)</f>
        <v/>
      </c>
      <c r="E10" s="11">
        <f>C10/(C10+Summary!$B$15)</f>
        <v/>
      </c>
      <c r="F10" s="12">
        <f>D10*E10</f>
        <v/>
      </c>
    </row>
    <row r="11">
      <c r="A11" s="8" t="inlineStr">
        <is>
          <t>Greek Salad</t>
        </is>
      </c>
      <c r="B11" s="8" t="inlineStr">
        <is>
          <t>$10.50</t>
        </is>
      </c>
      <c r="C11" s="8">
        <f>COUNTIF('Raw ratings'!$B$5:$B$40,A11)</f>
        <v/>
      </c>
      <c r="D11" s="10">
        <f>AVERAGEIF('Raw ratings'!$B$5:$B$40,A11,'Raw ratings'!$C$5:$C$40)</f>
        <v/>
      </c>
      <c r="E11" s="11">
        <f>C11/(C11+Summary!$B$15)</f>
        <v/>
      </c>
      <c r="F11" s="12">
        <f>D11*E11</f>
        <v/>
      </c>
    </row>
    <row r="12">
      <c r="A12" s="8" t="inlineStr">
        <is>
          <t>Hawaiian Pizza</t>
        </is>
      </c>
      <c r="B12" s="8" t="inlineStr">
        <is>
          <t>$26.50</t>
        </is>
      </c>
      <c r="C12" s="8">
        <f>COUNTIF('Raw ratings'!$B$5:$B$40,A12)</f>
        <v/>
      </c>
      <c r="D12" s="10">
        <f>AVERAGEIF('Raw ratings'!$B$5:$B$40,A12,'Raw ratings'!$C$5:$C$40)</f>
        <v/>
      </c>
      <c r="E12" s="11">
        <f>C12/(C12+Summary!$B$15)</f>
        <v/>
      </c>
      <c r="F12" s="12">
        <f>D12*E12</f>
        <v/>
      </c>
    </row>
    <row r="13">
      <c r="A13" s="3" t="inlineStr">
        <is>
          <t>Totals</t>
        </is>
      </c>
      <c r="C13" s="3">
        <f>SUM(C5:C12)</f>
        <v/>
      </c>
      <c r="E13" s="13">
        <f>SUM(E5:E12)</f>
        <v/>
      </c>
      <c r="F13" s="14">
        <f>SUM(F5:F12)</f>
        <v/>
      </c>
    </row>
    <row r="15">
      <c r="A15" s="3" t="inlineStr">
        <is>
          <t>PLATE SCORE</t>
        </is>
      </c>
      <c r="B15" s="15">
        <f>F13/E13</f>
        <v/>
      </c>
      <c r="C15" s="2" t="inlineStr">
        <is>
          <t>&lt;- SUM(avg x weight) / SUM(weight)</t>
        </is>
      </c>
    </row>
    <row r="17">
      <c r="A17" s="3" t="inlineStr">
        <is>
          <t>For comparison — what the weighting changes</t>
        </is>
      </c>
    </row>
    <row r="18">
      <c r="A18" s="4" t="inlineStr">
        <is>
          <t>Plain mean of the 8 dish averages</t>
        </is>
      </c>
      <c r="B18" s="16">
        <f>AVERAGE(D5:D12)</f>
        <v/>
      </c>
      <c r="C18" s="2" t="inlineStr">
        <is>
          <t>Ignores sample size — a 2-rating plate counts as much as a 9-rating one</t>
        </is>
      </c>
    </row>
    <row r="19">
      <c r="A19" s="4" t="inlineStr">
        <is>
          <t>Flat mean of all 36 ratings</t>
        </is>
      </c>
      <c r="B19" s="16">
        <f>AVERAGE('Raw ratings'!C5:C40)</f>
        <v/>
      </c>
      <c r="C19" s="2" t="inlineStr">
        <is>
          <t>Lets the most-rated plate dominate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5" customWidth="1" min="5" max="5"/>
    <col width="24" customWidth="1" min="6" max="6"/>
    <col width="12" customWidth="1" min="7" max="7"/>
    <col width="10" customWidth="1" min="8" max="8"/>
  </cols>
  <sheetData>
    <row r="1">
      <c r="A1" s="1" t="inlineStr">
        <is>
          <t>Stage 2 — categories spaced around the SOURCED rating</t>
        </is>
      </c>
    </row>
    <row r="2">
      <c r="A2" s="2" t="inlineStr">
        <is>
          <t>Base is the Yelp/Google rating (4.1), not the plate score. The votes set the spacing only.</t>
        </is>
      </c>
    </row>
    <row r="3">
      <c r="A3" s="2" t="inlineStr">
        <is>
          <t>net = (praise - fault)/reviews   dev = net - mean(net)   score = base + dev x conf x SPREAD x fit</t>
        </is>
      </c>
    </row>
    <row r="5">
      <c r="A5" s="4" t="inlineStr">
        <is>
          <t>Reviews that could have voted</t>
        </is>
      </c>
      <c r="B5" s="5" t="n">
        <v>36</v>
      </c>
      <c r="C5" s="2" t="inlineStr">
        <is>
          <t>Rated posts at this restaurant</t>
        </is>
      </c>
    </row>
    <row r="6">
      <c r="A6" s="4" t="inlineStr">
        <is>
          <t>Confidence = reviews/(reviews+5)</t>
        </is>
      </c>
      <c r="B6" s="17">
        <f>B5/(B5+Summary!$B$16)</f>
        <v/>
      </c>
    </row>
    <row r="7">
      <c r="A7" s="4" t="inlineStr">
        <is>
          <t>Base (sourced rating)</t>
        </is>
      </c>
      <c r="B7" s="18">
        <f>Summary!$B$6</f>
        <v/>
      </c>
    </row>
    <row r="9">
      <c r="A9" s="7" t="inlineStr">
        <is>
          <t>Category</t>
        </is>
      </c>
      <c r="B9" s="7" t="inlineStr">
        <is>
          <t>Praised</t>
        </is>
      </c>
      <c r="C9" s="7" t="inlineStr">
        <is>
          <t>Faulted</t>
        </is>
      </c>
      <c r="D9" s="7" t="inlineStr">
        <is>
          <t>net</t>
        </is>
      </c>
      <c r="E9" s="7" t="inlineStr">
        <is>
          <t>dev (centred)</t>
        </is>
      </c>
      <c r="F9" s="7" t="inlineStr">
        <is>
          <t>raw = dev x conf x SPREAD</t>
        </is>
      </c>
      <c r="G9" s="7" t="inlineStr">
        <is>
          <t>RATING /5</t>
        </is>
      </c>
      <c r="H9" s="7" t="inlineStr">
        <is>
          <t>vs base</t>
        </is>
      </c>
    </row>
    <row r="10">
      <c r="A10" s="8" t="inlineStr">
        <is>
          <t>Service</t>
        </is>
      </c>
      <c r="B10" s="9" t="n">
        <v>11</v>
      </c>
      <c r="C10" s="9" t="n">
        <v>0</v>
      </c>
      <c r="D10" s="11">
        <f>(B10-C10)/$B$5</f>
        <v/>
      </c>
      <c r="E10" s="11">
        <f>D10-$D$15</f>
        <v/>
      </c>
      <c r="F10" s="11">
        <f>E10*$B$6*Summary!$B$17</f>
        <v/>
      </c>
      <c r="G10" s="19">
        <f>$B$7+F10*$B$21</f>
        <v/>
      </c>
      <c r="H10" s="20">
        <f>G10-$B$7</f>
        <v/>
      </c>
    </row>
    <row r="11">
      <c r="A11" s="8" t="inlineStr">
        <is>
          <t>Ambiance</t>
        </is>
      </c>
      <c r="B11" s="9" t="n">
        <v>7</v>
      </c>
      <c r="C11" s="9" t="n">
        <v>0</v>
      </c>
      <c r="D11" s="11">
        <f>(B11-C11)/$B$5</f>
        <v/>
      </c>
      <c r="E11" s="11">
        <f>D11-$D$15</f>
        <v/>
      </c>
      <c r="F11" s="11">
        <f>E11*$B$6*Summary!$B$17</f>
        <v/>
      </c>
      <c r="G11" s="19">
        <f>$B$7+F11*$B$21</f>
        <v/>
      </c>
      <c r="H11" s="20">
        <f>G11-$B$7</f>
        <v/>
      </c>
    </row>
    <row r="12">
      <c r="A12" s="8" t="inlineStr">
        <is>
          <t>Drinks</t>
        </is>
      </c>
      <c r="B12" s="9" t="n">
        <v>4</v>
      </c>
      <c r="C12" s="9" t="n">
        <v>0</v>
      </c>
      <c r="D12" s="11">
        <f>(B12-C12)/$B$5</f>
        <v/>
      </c>
      <c r="E12" s="11">
        <f>D12-$D$15</f>
        <v/>
      </c>
      <c r="F12" s="11">
        <f>E12*$B$6*Summary!$B$17</f>
        <v/>
      </c>
      <c r="G12" s="19">
        <f>$B$7+F12*$B$21</f>
        <v/>
      </c>
      <c r="H12" s="20">
        <f>G12-$B$7</f>
        <v/>
      </c>
    </row>
    <row r="13">
      <c r="A13" s="8" t="inlineStr">
        <is>
          <t>Menu variety</t>
        </is>
      </c>
      <c r="B13" s="9" t="n">
        <v>0</v>
      </c>
      <c r="C13" s="9" t="n">
        <v>4</v>
      </c>
      <c r="D13" s="11">
        <f>(B13-C13)/$B$5</f>
        <v/>
      </c>
      <c r="E13" s="11">
        <f>D13-$D$15</f>
        <v/>
      </c>
      <c r="F13" s="11">
        <f>E13*$B$6*Summary!$B$17</f>
        <v/>
      </c>
      <c r="G13" s="19">
        <f>$B$7+F13*$B$21</f>
        <v/>
      </c>
      <c r="H13" s="20">
        <f>G13-$B$7</f>
        <v/>
      </c>
    </row>
    <row r="14">
      <c r="A14" s="8" t="inlineStr">
        <is>
          <t>Value</t>
        </is>
      </c>
      <c r="B14" s="9" t="n">
        <v>3</v>
      </c>
      <c r="C14" s="9" t="n">
        <v>6</v>
      </c>
      <c r="D14" s="11">
        <f>(B14-C14)/$B$5</f>
        <v/>
      </c>
      <c r="E14" s="11">
        <f>D14-$D$15</f>
        <v/>
      </c>
      <c r="F14" s="11">
        <f>E14*$B$6*Summary!$B$17</f>
        <v/>
      </c>
      <c r="G14" s="19">
        <f>$B$7+F14*$B$21</f>
        <v/>
      </c>
      <c r="H14" s="20">
        <f>G14-$B$7</f>
        <v/>
      </c>
    </row>
    <row r="15">
      <c r="A15" s="3" t="inlineStr">
        <is>
          <t>mean(net)</t>
        </is>
      </c>
      <c r="D15" s="13">
        <f>AVERAGE(D10:D14)</f>
        <v/>
      </c>
      <c r="E15" s="13">
        <f>SUM(E10:E14)</f>
        <v/>
      </c>
      <c r="F15" s="2" t="inlineStr">
        <is>
          <t>&lt;- deviations sum to zero, which is what preserves the mean</t>
        </is>
      </c>
    </row>
    <row r="17">
      <c r="A17" s="3" t="inlineStr">
        <is>
          <t>FIT — keeps the row inside 1-5 without breaking the mean</t>
        </is>
      </c>
    </row>
    <row r="18">
      <c r="A18" s="4" t="inlineStr">
        <is>
          <t>Headroom (5 - base)</t>
        </is>
      </c>
      <c r="B18" s="17">
        <f>5-$B$7</f>
        <v/>
      </c>
    </row>
    <row r="19">
      <c r="A19" s="4" t="inlineStr">
        <is>
          <t>Legroom (base - 1)</t>
        </is>
      </c>
      <c r="B19" s="17">
        <f>$B$7-1</f>
        <v/>
      </c>
    </row>
    <row r="20">
      <c r="A20" s="4" t="inlineStr">
        <is>
          <t>Largest raw up / down</t>
        </is>
      </c>
      <c r="B20" s="17">
        <f>MAX(0,MAX(F10:F14))</f>
        <v/>
      </c>
      <c r="C20" s="17">
        <f>MIN(0,MIN(F10:F14))</f>
        <v/>
      </c>
    </row>
    <row r="21">
      <c r="A21" s="3" t="inlineStr">
        <is>
          <t>fit (scales every deviation equally)</t>
        </is>
      </c>
      <c r="B21" s="13">
        <f>MIN(1,IF(B20&gt;0,B18/B20,1),IF(C20&lt;0,B19/-C20,1))</f>
        <v/>
      </c>
      <c r="D21" s="2" t="inlineStr">
        <is>
          <t>Uniform, never a clamp — a clamp would break the mean</t>
        </is>
      </c>
    </row>
    <row r="23">
      <c r="A23" s="3" t="inlineStr">
        <is>
          <t>THE CHECK</t>
        </is>
      </c>
    </row>
    <row r="24">
      <c r="A24" s="4" t="inlineStr">
        <is>
          <t>Mean of the 5 category ratings</t>
        </is>
      </c>
      <c r="B24" s="21">
        <f>AVERAGE(G10:G14)</f>
        <v/>
      </c>
    </row>
    <row r="25">
      <c r="A25" s="4" t="inlineStr">
        <is>
          <t>Restaurant's sourced rating</t>
        </is>
      </c>
      <c r="B25" s="21">
        <f>$B$7</f>
        <v/>
      </c>
    </row>
    <row r="26">
      <c r="A26" s="4" t="inlineStr">
        <is>
          <t>Difference</t>
        </is>
      </c>
      <c r="B26" s="22">
        <f>B24-B25</f>
        <v/>
      </c>
      <c r="C26" s="2" t="inlineStr">
        <is>
          <t>Must be zero. That is the whole property of the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2026-08-17T18:59:58Z</dcterms:created>
  <dcterms:modified xsi:type="dcterms:W3CDTF">2026-08-17T18:59:58Z</dcterms:modified>
</cp:coreProperties>
</file>